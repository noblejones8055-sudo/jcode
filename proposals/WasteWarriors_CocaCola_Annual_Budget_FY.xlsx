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[&gt;9999999]##\,##\,##\,##0;[$₹][&gt;99999]##\,##\,##0;[$₹]##,##0"/>
    <numFmt numFmtId="165" formatCode="0.##"/>
    <numFmt numFmtId="166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000000"/>
      <sz val="9"/>
    </font>
    <font>
      <name val="Calibri"/>
      <b val="1"/>
      <color rgb="00000000"/>
      <sz val="11"/>
    </font>
    <font>
      <name val="Calibri"/>
      <b val="1"/>
      <color rgb="001B2A4A"/>
      <sz val="12"/>
    </font>
    <font>
      <name val="Calibri"/>
      <b val="1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FE2F3"/>
      </patternFill>
    </fill>
    <fill>
      <patternFill patternType="solid">
        <fgColor rgb="00E8EEF7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vertical="center"/>
    </xf>
    <xf numFmtId="164" fontId="4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vertical="center"/>
    </xf>
    <xf numFmtId="164" fontId="6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9" customWidth="1" min="4" max="4"/>
    <col width="8" customWidth="1" min="5" max="5"/>
    <col width="16" customWidth="1" min="6" max="6"/>
    <col width="60" customWidth="1" min="7" max="7"/>
  </cols>
  <sheetData>
    <row r="1" ht="26" customHeight="1">
      <c r="A1" s="1" t="inlineStr">
        <is>
          <t>Waste Warriors Society</t>
        </is>
      </c>
    </row>
    <row r="2" ht="20" customHeight="1">
      <c r="A2" s="2" t="inlineStr">
        <is>
          <t>Annual Programme Budget  |  Decentralised Waste Management, MRF Operations &amp; Dharamshala MRF Expansion</t>
        </is>
      </c>
    </row>
    <row r="3">
      <c r="A3" s="3" t="inlineStr">
        <is>
          <t>Submitted to: The Coca-Cola Foundation</t>
        </is>
      </c>
    </row>
    <row r="4">
      <c r="A4" s="3" t="inlineStr">
        <is>
          <t>Budget Period: 12 Months (Annual)     Currency: Indian Rupees (INR / ₹)</t>
        </is>
      </c>
    </row>
    <row r="5">
      <c r="A5" s="3" t="inlineStr">
        <is>
          <t>Geography: Dehradun, Uttarakhand &amp; Dharamshala, Himachal Pradesh (Indian Himalayan Region)</t>
        </is>
      </c>
    </row>
    <row r="7" ht="28" customHeight="1">
      <c r="A7" s="4" t="inlineStr">
        <is>
          <t>Budget Code</t>
        </is>
      </c>
      <c r="B7" s="4" t="inlineStr">
        <is>
          <t>Description</t>
        </is>
      </c>
      <c r="C7" s="4" t="inlineStr">
        <is>
          <t>Unit Cost (INR)</t>
        </is>
      </c>
      <c r="D7" s="4" t="inlineStr">
        <is>
          <t>Units</t>
        </is>
      </c>
      <c r="E7" s="4" t="inlineStr">
        <is>
          <t>Months</t>
        </is>
      </c>
      <c r="F7" s="4" t="inlineStr">
        <is>
          <t>Annual Budget</t>
        </is>
      </c>
      <c r="G7" s="4" t="inlineStr">
        <is>
          <t>Comments</t>
        </is>
      </c>
    </row>
    <row r="8">
      <c r="A8" s="5" t="inlineStr">
        <is>
          <t>A</t>
        </is>
      </c>
      <c r="B8" s="6" t="inlineStr">
        <is>
          <t>MRF Operations (Dehradun)</t>
        </is>
      </c>
      <c r="C8" s="7" t="n"/>
      <c r="D8" s="7" t="n"/>
      <c r="E8" s="7" t="n"/>
      <c r="F8" s="8">
        <f>SUM(F9:F17)</f>
        <v/>
      </c>
      <c r="G8" s="7" t="n"/>
    </row>
    <row r="9">
      <c r="A9" s="9" t="inlineStr">
        <is>
          <t>A1</t>
        </is>
      </c>
      <c r="B9" s="10" t="inlineStr">
        <is>
          <t>Operational expenses (electricity, consumables, fire safety)</t>
        </is>
      </c>
      <c r="C9" s="11" t="n">
        <v>25000</v>
      </c>
      <c r="D9" s="12" t="n">
        <v>1</v>
      </c>
      <c r="E9" s="9" t="n">
        <v>12</v>
      </c>
      <c r="F9" s="11">
        <f>C9*D9*E9</f>
        <v/>
      </c>
      <c r="G9" s="13" t="inlineStr">
        <is>
          <t>Day-to-day running cost of the Material Recovery Facility</t>
        </is>
      </c>
    </row>
    <row r="10">
      <c r="A10" s="9" t="inlineStr">
        <is>
          <t>A2</t>
        </is>
      </c>
      <c r="B10" s="10" t="inlineStr">
        <is>
          <t>Waste transportation &amp; logistics</t>
        </is>
      </c>
      <c r="C10" s="11" t="n">
        <v>50000</v>
      </c>
      <c r="D10" s="12" t="n">
        <v>1</v>
      </c>
      <c r="E10" s="9" t="n">
        <v>12</v>
      </c>
      <c r="F10" s="11">
        <f>C10*D10*E10</f>
        <v/>
      </c>
      <c r="G10" s="13" t="inlineStr">
        <is>
          <t>Movement of recyclables and low-value plastic to recyclers / end destinations, incl. loading and unloading</t>
        </is>
      </c>
    </row>
    <row r="11">
      <c r="A11" s="9" t="inlineStr">
        <is>
          <t>A3</t>
        </is>
      </c>
      <c r="B11" s="10" t="inlineStr">
        <is>
          <t>Ecopreneur service fee (mixed dry waste operations)</t>
        </is>
      </c>
      <c r="C11" s="11" t="n">
        <v>160000</v>
      </c>
      <c r="D11" s="12" t="n">
        <v>1</v>
      </c>
      <c r="E11" s="9" t="n">
        <v>12</v>
      </c>
      <c r="F11" s="11">
        <f>C11*D11*E11</f>
        <v/>
      </c>
      <c r="G11" s="13" t="inlineStr">
        <is>
          <t>Day-to-day operations and trading; includes storage bags, PPE kits and Green Worker wages</t>
        </is>
      </c>
    </row>
    <row r="12">
      <c r="A12" s="9" t="inlineStr">
        <is>
          <t>A4</t>
        </is>
      </c>
      <c r="B12" s="10" t="inlineStr">
        <is>
          <t>Data Entry Operator + Driver salary</t>
        </is>
      </c>
      <c r="C12" s="11" t="n">
        <v>27000</v>
      </c>
      <c r="D12" s="12" t="n">
        <v>1</v>
      </c>
      <c r="E12" s="9" t="n">
        <v>12</v>
      </c>
      <c r="F12" s="11">
        <f>C12*D12*E12</f>
        <v/>
      </c>
      <c r="G12" s="13" t="inlineStr">
        <is>
          <t>MRF data recording and vehicle operation</t>
        </is>
      </c>
    </row>
    <row r="13">
      <c r="A13" s="9" t="inlineStr">
        <is>
          <t>A5</t>
        </is>
      </c>
      <c r="B13" s="10" t="inlineStr">
        <is>
          <t>Vehicle fuel</t>
        </is>
      </c>
      <c r="C13" s="11" t="n">
        <v>16000</v>
      </c>
      <c r="D13" s="12" t="n">
        <v>1</v>
      </c>
      <c r="E13" s="9" t="n">
        <v>12</v>
      </c>
      <c r="F13" s="11">
        <f>C13*D13*E13</f>
        <v/>
      </c>
      <c r="G13" s="13" t="inlineStr">
        <is>
          <t>Local collection and transport of processed waste</t>
        </is>
      </c>
    </row>
    <row r="14">
      <c r="A14" s="9" t="inlineStr">
        <is>
          <t>A6</t>
        </is>
      </c>
      <c r="B14" s="10" t="inlineStr">
        <is>
          <t>MRF housekeeping &amp; office expenses</t>
        </is>
      </c>
      <c r="C14" s="11" t="n">
        <v>22000</v>
      </c>
      <c r="D14" s="12" t="n">
        <v>1</v>
      </c>
      <c r="E14" s="9" t="n">
        <v>12</v>
      </c>
      <c r="F14" s="11">
        <f>C14*D14*E14</f>
        <v/>
      </c>
      <c r="G14" s="13" t="inlineStr">
        <is>
          <t>Stationery, refreshments, sanitation, hygiene and general upkeep</t>
        </is>
      </c>
    </row>
    <row r="15">
      <c r="A15" s="9" t="inlineStr">
        <is>
          <t>A7</t>
        </is>
      </c>
      <c r="B15" s="10" t="inlineStr">
        <is>
          <t>MRF vehicle maintenance</t>
        </is>
      </c>
      <c r="C15" s="11" t="n">
        <v>12000</v>
      </c>
      <c r="D15" s="12" t="n">
        <v>1</v>
      </c>
      <c r="E15" s="9" t="n">
        <v>12</v>
      </c>
      <c r="F15" s="11">
        <f>C15*D15*E15</f>
        <v/>
      </c>
      <c r="G15" s="13" t="inlineStr">
        <is>
          <t>Servicing of collection vehicles</t>
        </is>
      </c>
    </row>
    <row r="16">
      <c r="A16" s="9" t="inlineStr">
        <is>
          <t>A8</t>
        </is>
      </c>
      <c r="B16" s="10" t="inlineStr">
        <is>
          <t>Project visibility &amp; signages</t>
        </is>
      </c>
      <c r="C16" s="11" t="n">
        <v>100000</v>
      </c>
      <c r="D16" s="12" t="n">
        <v>1</v>
      </c>
      <c r="E16" s="9" t="n">
        <v>1</v>
      </c>
      <c r="F16" s="11">
        <f>C16*D16*E16</f>
        <v/>
      </c>
      <c r="G16" s="13" t="inlineStr">
        <is>
          <t>Logo display, safety boards, signages and documentation</t>
        </is>
      </c>
    </row>
    <row r="17">
      <c r="A17" s="9" t="inlineStr">
        <is>
          <t>A9</t>
        </is>
      </c>
      <c r="B17" s="10" t="inlineStr">
        <is>
          <t>Equipment servicing &amp; spares (baler / segregation units)</t>
        </is>
      </c>
      <c r="C17" s="11" t="n">
        <v>156000</v>
      </c>
      <c r="D17" s="12" t="n">
        <v>1</v>
      </c>
      <c r="E17" s="9" t="n">
        <v>1</v>
      </c>
      <c r="F17" s="11">
        <f>C17*D17*E17</f>
        <v/>
      </c>
      <c r="G17" s="13" t="inlineStr">
        <is>
          <t>Annual maintenance of processing equipment</t>
        </is>
      </c>
    </row>
    <row r="18">
      <c r="A18" s="5" t="inlineStr">
        <is>
          <t>B</t>
        </is>
      </c>
      <c r="B18" s="6" t="inlineStr">
        <is>
          <t>MRF Expansion — Dharamshala</t>
        </is>
      </c>
      <c r="C18" s="7" t="n"/>
      <c r="D18" s="7" t="n"/>
      <c r="E18" s="7" t="n"/>
      <c r="F18" s="8">
        <f>SUM(F19:F24)</f>
        <v/>
      </c>
      <c r="G18" s="7" t="n"/>
    </row>
    <row r="19">
      <c r="A19" s="9" t="inlineStr">
        <is>
          <t>B1</t>
        </is>
      </c>
      <c r="B19" s="10" t="inlineStr">
        <is>
          <t>Civil works &amp; shed expansion (flooring, roofing, drainage)</t>
        </is>
      </c>
      <c r="C19" s="11" t="n">
        <v>1200000</v>
      </c>
      <c r="D19" s="12" t="n">
        <v>1</v>
      </c>
      <c r="E19" s="9" t="n">
        <v>1</v>
      </c>
      <c r="F19" s="11">
        <f>C19*D19*E19</f>
        <v/>
      </c>
      <c r="G19" s="13" t="inlineStr">
        <is>
          <t>Capital expansion of the Dharamshala facility footprint</t>
        </is>
      </c>
    </row>
    <row r="20">
      <c r="A20" s="9" t="inlineStr">
        <is>
          <t>B2</t>
        </is>
      </c>
      <c r="B20" s="10" t="inlineStr">
        <is>
          <t>Segregation &amp; processing equipment (baler, conveyor, weighing)</t>
        </is>
      </c>
      <c r="C20" s="11" t="n">
        <v>800000</v>
      </c>
      <c r="D20" s="12" t="n">
        <v>1</v>
      </c>
      <c r="E20" s="9" t="n">
        <v>1</v>
      </c>
      <c r="F20" s="11">
        <f>C20*D20*E20</f>
        <v/>
      </c>
      <c r="G20" s="13" t="inlineStr">
        <is>
          <t>Core processing machinery for the expanded facility</t>
        </is>
      </c>
    </row>
    <row r="21">
      <c r="A21" s="9" t="inlineStr">
        <is>
          <t>B3</t>
        </is>
      </c>
      <c r="B21" s="10" t="inlineStr">
        <is>
          <t>Collection vehicle (e-loader / tipper)</t>
        </is>
      </c>
      <c r="C21" s="11" t="n">
        <v>500000</v>
      </c>
      <c r="D21" s="12" t="n">
        <v>1</v>
      </c>
      <c r="E21" s="9" t="n">
        <v>1</v>
      </c>
      <c r="F21" s="11">
        <f>C21*D21*E21</f>
        <v/>
      </c>
      <c r="G21" s="13" t="inlineStr">
        <is>
          <t>Dedicated collection and transport vehicle for Dharamshala</t>
        </is>
      </c>
    </row>
    <row r="22">
      <c r="A22" s="9" t="inlineStr">
        <is>
          <t>B4</t>
        </is>
      </c>
      <c r="B22" s="10" t="inlineStr">
        <is>
          <t>Site electrical, fire-safety &amp; water setup</t>
        </is>
      </c>
      <c r="C22" s="11" t="n">
        <v>200000</v>
      </c>
      <c r="D22" s="12" t="n">
        <v>1</v>
      </c>
      <c r="E22" s="9" t="n">
        <v>1</v>
      </c>
      <c r="F22" s="11">
        <f>C22*D22*E22</f>
        <v/>
      </c>
      <c r="G22" s="13" t="inlineStr">
        <is>
          <t>Statutory utility and safety infrastructure</t>
        </is>
      </c>
    </row>
    <row r="23">
      <c r="A23" s="9" t="inlineStr">
        <is>
          <t>B5</t>
        </is>
      </c>
      <c r="B23" s="10" t="inlineStr">
        <is>
          <t>PPE, storage bags &amp; initial consumables</t>
        </is>
      </c>
      <c r="C23" s="11" t="n">
        <v>150000</v>
      </c>
      <c r="D23" s="12" t="n">
        <v>1</v>
      </c>
      <c r="E23" s="9" t="n">
        <v>1</v>
      </c>
      <c r="F23" s="11">
        <f>C23*D23*E23</f>
        <v/>
      </c>
      <c r="G23" s="13" t="inlineStr">
        <is>
          <t>Setup stock for safe operations</t>
        </is>
      </c>
    </row>
    <row r="24">
      <c r="A24" s="9" t="inlineStr">
        <is>
          <t>B6</t>
        </is>
      </c>
      <c r="B24" s="10" t="inlineStr">
        <is>
          <t>Green Worker onboarding &amp; training (Dharamshala)</t>
        </is>
      </c>
      <c r="C24" s="11" t="n">
        <v>150000</v>
      </c>
      <c r="D24" s="12" t="n">
        <v>1</v>
      </c>
      <c r="E24" s="9" t="n">
        <v>1</v>
      </c>
      <c r="F24" s="11">
        <f>C24*D24*E24</f>
        <v/>
      </c>
      <c r="G24" s="13" t="inlineStr">
        <is>
          <t>Recruitment, orientation and skilling of new Green Workers</t>
        </is>
      </c>
    </row>
    <row r="25">
      <c r="A25" s="5" t="inlineStr">
        <is>
          <t>C</t>
        </is>
      </c>
      <c r="B25" s="6" t="inlineStr">
        <is>
          <t>IEC, Awareness &amp; Community Engagement</t>
        </is>
      </c>
      <c r="C25" s="7" t="n"/>
      <c r="D25" s="7" t="n"/>
      <c r="E25" s="7" t="n"/>
      <c r="F25" s="8">
        <f>SUM(F26:F34)</f>
        <v/>
      </c>
      <c r="G25" s="7" t="n"/>
    </row>
    <row r="26">
      <c r="A26" s="9" t="inlineStr">
        <is>
          <t>C1</t>
        </is>
      </c>
      <c r="B26" s="10" t="inlineStr">
        <is>
          <t>Community workshops &amp; Chai pe Charcha (IEC drives)</t>
        </is>
      </c>
      <c r="C26" s="11" t="n">
        <v>18000</v>
      </c>
      <c r="D26" s="12" t="n">
        <v>1</v>
      </c>
      <c r="E26" s="9" t="n">
        <v>12</v>
      </c>
      <c r="F26" s="11">
        <f>C26*D26*E26</f>
        <v/>
      </c>
      <c r="G26" s="13" t="inlineStr">
        <is>
          <t>Door-to-door education, behaviour-change and source-segregation drives</t>
        </is>
      </c>
    </row>
    <row r="27">
      <c r="A27" s="9" t="inlineStr">
        <is>
          <t>C2</t>
        </is>
      </c>
      <c r="B27" s="10" t="inlineStr">
        <is>
          <t>Monthly cleanup &amp; wet-waste campaigns</t>
        </is>
      </c>
      <c r="C27" s="11" t="n">
        <v>25000</v>
      </c>
      <c r="D27" s="12" t="n">
        <v>1</v>
      </c>
      <c r="E27" s="9" t="n">
        <v>12</v>
      </c>
      <c r="F27" s="11">
        <f>C27*D27*E27</f>
        <v/>
      </c>
      <c r="G27" s="13" t="inlineStr">
        <is>
          <t>Community cleanup drives and wet-waste management awareness</t>
        </is>
      </c>
    </row>
    <row r="28">
      <c r="A28" s="9" t="inlineStr">
        <is>
          <t>C3</t>
        </is>
      </c>
      <c r="B28" s="10" t="inlineStr">
        <is>
          <t>Public space transformation / dark-spot murals</t>
        </is>
      </c>
      <c r="C28" s="11" t="n">
        <v>25000</v>
      </c>
      <c r="D28" s="12" t="n">
        <v>8</v>
      </c>
      <c r="E28" s="9" t="n">
        <v>1</v>
      </c>
      <c r="F28" s="11">
        <f>C28*D28*E28</f>
        <v/>
      </c>
      <c r="G28" s="13" t="inlineStr">
        <is>
          <t>Conversion of litter dark-spots into clean public art</t>
        </is>
      </c>
    </row>
    <row r="29">
      <c r="A29" s="9" t="inlineStr">
        <is>
          <t>C4</t>
        </is>
      </c>
      <c r="B29" s="10" t="inlineStr">
        <is>
          <t>Events — Nukkad Natak, stakeholder meets, puppet shows</t>
        </is>
      </c>
      <c r="C29" s="11" t="n">
        <v>15000</v>
      </c>
      <c r="D29" s="12" t="n">
        <v>6</v>
      </c>
      <c r="E29" s="9" t="n">
        <v>1</v>
      </c>
      <c r="F29" s="11">
        <f>C29*D29*E29</f>
        <v/>
      </c>
      <c r="G29" s="13" t="inlineStr">
        <is>
          <t>Public engagement and stakeholder mobilisation events</t>
        </is>
      </c>
    </row>
    <row r="30">
      <c r="A30" s="9" t="inlineStr">
        <is>
          <t>C5</t>
        </is>
      </c>
      <c r="B30" s="10" t="inlineStr">
        <is>
          <t>Signboards &amp; safety boards</t>
        </is>
      </c>
      <c r="C30" s="11" t="n">
        <v>10000</v>
      </c>
      <c r="D30" s="12" t="n">
        <v>17</v>
      </c>
      <c r="E30" s="9" t="n">
        <v>1</v>
      </c>
      <c r="F30" s="11">
        <f>C30*D30*E30</f>
        <v/>
      </c>
      <c r="G30" s="13" t="inlineStr">
        <is>
          <t>Ward-level IEC signage</t>
        </is>
      </c>
    </row>
    <row r="31">
      <c r="A31" s="9" t="inlineStr">
        <is>
          <t>C6</t>
        </is>
      </c>
      <c r="B31" s="10" t="inlineStr">
        <is>
          <t>Merchandise &amp; IEC collateral</t>
        </is>
      </c>
      <c r="C31" s="11" t="n">
        <v>200</v>
      </c>
      <c r="D31" s="12" t="n">
        <v>520</v>
      </c>
      <c r="E31" s="9" t="n">
        <v>1</v>
      </c>
      <c r="F31" s="11">
        <f>C31*D31*E31</f>
        <v/>
      </c>
      <c r="G31" s="13" t="inlineStr">
        <is>
          <t>Reusable bags, posters and campaign material</t>
        </is>
      </c>
    </row>
    <row r="32">
      <c r="A32" s="9" t="inlineStr">
        <is>
          <t>C7</t>
        </is>
      </c>
      <c r="B32" s="10" t="inlineStr">
        <is>
          <t>Plastic Lao, Rashan Pao campaign</t>
        </is>
      </c>
      <c r="C32" s="11" t="n">
        <v>30000</v>
      </c>
      <c r="D32" s="12" t="n">
        <v>4</v>
      </c>
      <c r="E32" s="9" t="n">
        <v>1</v>
      </c>
      <c r="F32" s="11">
        <f>C32*D32*E32</f>
        <v/>
      </c>
      <c r="G32" s="13" t="inlineStr">
        <is>
          <t>Incentivised collection of low-value plastic from informal waste pickers</t>
        </is>
      </c>
    </row>
    <row r="33">
      <c r="A33" s="9" t="inlineStr">
        <is>
          <t>C8</t>
        </is>
      </c>
      <c r="B33" s="10" t="inlineStr">
        <is>
          <t>Annual dissemination &amp; felicitation event</t>
        </is>
      </c>
      <c r="C33" s="11" t="n">
        <v>100000</v>
      </c>
      <c r="D33" s="12" t="n">
        <v>1</v>
      </c>
      <c r="E33" s="9" t="n">
        <v>1</v>
      </c>
      <c r="F33" s="11">
        <f>C33*D33*E33</f>
        <v/>
      </c>
      <c r="G33" s="13" t="inlineStr">
        <is>
          <t>Anniversary / model-ward showcase with local government and partners</t>
        </is>
      </c>
    </row>
    <row r="34">
      <c r="A34" s="9" t="inlineStr">
        <is>
          <t>C9</t>
        </is>
      </c>
      <c r="B34" s="10" t="inlineStr">
        <is>
          <t>MEL framework &amp; documentation</t>
        </is>
      </c>
      <c r="C34" s="11" t="n">
        <v>100000</v>
      </c>
      <c r="D34" s="12" t="n">
        <v>1</v>
      </c>
      <c r="E34" s="9" t="n">
        <v>1</v>
      </c>
      <c r="F34" s="11">
        <f>C34*D34*E34</f>
        <v/>
      </c>
      <c r="G34" s="13" t="inlineStr">
        <is>
          <t>Monitoring, Evaluation and Learning, reporting and impact documentation</t>
        </is>
      </c>
    </row>
    <row r="35">
      <c r="A35" s="5" t="inlineStr">
        <is>
          <t>D</t>
        </is>
      </c>
      <c r="B35" s="6" t="inlineStr">
        <is>
          <t>Employee Wellness &amp; Statutory</t>
        </is>
      </c>
      <c r="C35" s="7" t="n"/>
      <c r="D35" s="7" t="n"/>
      <c r="E35" s="7" t="n"/>
      <c r="F35" s="8">
        <f>SUM(F36:F42)</f>
        <v/>
      </c>
      <c r="G35" s="7" t="n"/>
    </row>
    <row r="36">
      <c r="A36" s="9" t="inlineStr">
        <is>
          <t>D1</t>
        </is>
      </c>
      <c r="B36" s="10" t="inlineStr">
        <is>
          <t>Nutrition / daily meal programme (Green Workers)</t>
        </is>
      </c>
      <c r="C36" s="11" t="n">
        <v>50</v>
      </c>
      <c r="D36" s="12" t="n">
        <v>700</v>
      </c>
      <c r="E36" s="9" t="n">
        <v>12</v>
      </c>
      <c r="F36" s="11">
        <f>C36*D36*E36</f>
        <v/>
      </c>
      <c r="G36" s="13" t="inlineStr">
        <is>
          <t>Nutritious daily meals for frontline staff performing physically demanding work</t>
        </is>
      </c>
    </row>
    <row r="37">
      <c r="A37" s="9" t="inlineStr">
        <is>
          <t>D2</t>
        </is>
      </c>
      <c r="B37" s="10" t="inlineStr">
        <is>
          <t>Medical insurance &amp; health cover</t>
        </is>
      </c>
      <c r="C37" s="11" t="n">
        <v>1500</v>
      </c>
      <c r="D37" s="12" t="n">
        <v>30</v>
      </c>
      <c r="E37" s="9" t="n">
        <v>12</v>
      </c>
      <c r="F37" s="11">
        <f>C37*D37*E37</f>
        <v/>
      </c>
      <c r="G37" s="13" t="inlineStr">
        <is>
          <t>Health insurance for all Green Workers and team members</t>
        </is>
      </c>
    </row>
    <row r="38">
      <c r="A38" s="9" t="inlineStr">
        <is>
          <t>D3</t>
        </is>
      </c>
      <c r="B38" s="10" t="inlineStr">
        <is>
          <t>Wellness allowance</t>
        </is>
      </c>
      <c r="C38" s="11" t="n">
        <v>1000</v>
      </c>
      <c r="D38" s="12" t="n">
        <v>30</v>
      </c>
      <c r="E38" s="9" t="n">
        <v>12</v>
      </c>
      <c r="F38" s="11">
        <f>C38*D38*E38</f>
        <v/>
      </c>
      <c r="G38" s="13" t="inlineStr">
        <is>
          <t>Monthly wellness support for staff</t>
        </is>
      </c>
    </row>
    <row r="39">
      <c r="A39" s="9" t="inlineStr">
        <is>
          <t>D4</t>
        </is>
      </c>
      <c r="B39" s="10" t="inlineStr">
        <is>
          <t>Annual medical screening (all staff)</t>
        </is>
      </c>
      <c r="C39" s="11" t="n">
        <v>1000</v>
      </c>
      <c r="D39" s="12" t="n">
        <v>40</v>
      </c>
      <c r="E39" s="9" t="n">
        <v>1</v>
      </c>
      <c r="F39" s="11">
        <f>C39*D39*E39</f>
        <v/>
      </c>
      <c r="G39" s="13" t="inlineStr">
        <is>
          <t>Once-yearly occupational health screening</t>
        </is>
      </c>
    </row>
    <row r="40">
      <c r="A40" s="9" t="inlineStr">
        <is>
          <t>D5</t>
        </is>
      </c>
      <c r="B40" s="10" t="inlineStr">
        <is>
          <t>Gratuity &amp; statutory benefits</t>
        </is>
      </c>
      <c r="C40" s="11" t="n">
        <v>1000</v>
      </c>
      <c r="D40" s="12" t="n">
        <v>30</v>
      </c>
      <c r="E40" s="9" t="n">
        <v>12</v>
      </c>
      <c r="F40" s="11">
        <f>C40*D40*E40</f>
        <v/>
      </c>
      <c r="G40" s="13" t="inlineStr">
        <is>
          <t>Statutory worker entitlements</t>
        </is>
      </c>
    </row>
    <row r="41">
      <c r="A41" s="9" t="inlineStr">
        <is>
          <t>D6</t>
        </is>
      </c>
      <c r="B41" s="10" t="inlineStr">
        <is>
          <t>Vocational training &amp; L&amp;D (spoken English, digital literacy)</t>
        </is>
      </c>
      <c r="C41" s="11" t="n">
        <v>180000</v>
      </c>
      <c r="D41" s="12" t="n">
        <v>1</v>
      </c>
      <c r="E41" s="9" t="n">
        <v>1</v>
      </c>
      <c r="F41" s="11">
        <f>C41*D41*E41</f>
        <v/>
      </c>
      <c r="G41" s="13" t="inlineStr">
        <is>
          <t>Capacity building and pathways to broader economic opportunity</t>
        </is>
      </c>
    </row>
    <row r="42">
      <c r="A42" s="9" t="inlineStr">
        <is>
          <t>D7</t>
        </is>
      </c>
      <c r="B42" s="10" t="inlineStr">
        <is>
          <t>Hobby fund &amp; recreation activities</t>
        </is>
      </c>
      <c r="C42" s="11" t="n">
        <v>200000</v>
      </c>
      <c r="D42" s="12" t="n">
        <v>1</v>
      </c>
      <c r="E42" s="9" t="n">
        <v>1</v>
      </c>
      <c r="F42" s="11">
        <f>C42*D42*E42</f>
        <v/>
      </c>
      <c r="G42" s="13" t="inlineStr">
        <is>
          <t>Holistic wellbeing support beyond the workplace</t>
        </is>
      </c>
    </row>
    <row r="43">
      <c r="A43" s="5" t="inlineStr">
        <is>
          <t>E</t>
        </is>
      </c>
      <c r="B43" s="6" t="inlineStr">
        <is>
          <t>Human Resource — Project Team Salaries</t>
        </is>
      </c>
      <c r="C43" s="7" t="n"/>
      <c r="D43" s="7" t="n"/>
      <c r="E43" s="7" t="n"/>
      <c r="F43" s="8">
        <f>SUM(F44:F51)</f>
        <v/>
      </c>
      <c r="G43" s="7" t="n"/>
    </row>
    <row r="44">
      <c r="A44" s="9" t="inlineStr">
        <is>
          <t>E1</t>
        </is>
      </c>
      <c r="B44" s="10" t="inlineStr">
        <is>
          <t>Project Lead / Director (part-time, 0.3 FTE)</t>
        </is>
      </c>
      <c r="C44" s="11" t="n">
        <v>150000</v>
      </c>
      <c r="D44" s="12" t="n">
        <v>0.3</v>
      </c>
      <c r="E44" s="9" t="n">
        <v>12</v>
      </c>
      <c r="F44" s="11">
        <f>C44*D44*E44</f>
        <v/>
      </c>
      <c r="G44" s="13" t="inlineStr">
        <is>
          <t>Overall strategy, deliverables and impact</t>
        </is>
      </c>
    </row>
    <row r="45">
      <c r="A45" s="9" t="inlineStr">
        <is>
          <t>E2</t>
        </is>
      </c>
      <c r="B45" s="10" t="inlineStr">
        <is>
          <t>Project Managers (Dehradun &amp; Dharamshala)</t>
        </is>
      </c>
      <c r="C45" s="11" t="n">
        <v>65000</v>
      </c>
      <c r="D45" s="12" t="n">
        <v>2</v>
      </c>
      <c r="E45" s="9" t="n">
        <v>12</v>
      </c>
      <c r="F45" s="11">
        <f>C45*D45*E45</f>
        <v/>
      </c>
      <c r="G45" s="13" t="inlineStr">
        <is>
          <t>Operations, implementation, worker handling and documentation</t>
        </is>
      </c>
    </row>
    <row r="46">
      <c r="A46" s="9" t="inlineStr">
        <is>
          <t>E3</t>
        </is>
      </c>
      <c r="B46" s="10" t="inlineStr">
        <is>
          <t>Project Coordinators</t>
        </is>
      </c>
      <c r="C46" s="11" t="n">
        <v>40000</v>
      </c>
      <c r="D46" s="12" t="n">
        <v>3</v>
      </c>
      <c r="E46" s="9" t="n">
        <v>12</v>
      </c>
      <c r="F46" s="11">
        <f>C46*D46*E46</f>
        <v/>
      </c>
      <c r="G46" s="13" t="inlineStr">
        <is>
          <t>Government liaison and stakeholder engagement</t>
        </is>
      </c>
    </row>
    <row r="47">
      <c r="A47" s="9" t="inlineStr">
        <is>
          <t>E4</t>
        </is>
      </c>
      <c r="B47" s="10" t="inlineStr">
        <is>
          <t>Community Mobilisers</t>
        </is>
      </c>
      <c r="C47" s="11" t="n">
        <v>20000</v>
      </c>
      <c r="D47" s="12" t="n">
        <v>6</v>
      </c>
      <c r="E47" s="9" t="n">
        <v>12</v>
      </c>
      <c r="F47" s="11">
        <f>C47*D47*E47</f>
        <v/>
      </c>
      <c r="G47" s="13" t="inlineStr">
        <is>
          <t>Ground-level mobilisation and best-practice handholding</t>
        </is>
      </c>
    </row>
    <row r="48">
      <c r="A48" s="9" t="inlineStr">
        <is>
          <t>E5</t>
        </is>
      </c>
      <c r="B48" s="10" t="inlineStr">
        <is>
          <t>MRF Supervisors</t>
        </is>
      </c>
      <c r="C48" s="11" t="n">
        <v>30000</v>
      </c>
      <c r="D48" s="12" t="n">
        <v>3</v>
      </c>
      <c r="E48" s="9" t="n">
        <v>12</v>
      </c>
      <c r="F48" s="11">
        <f>C48*D48*E48</f>
        <v/>
      </c>
      <c r="G48" s="13" t="inlineStr">
        <is>
          <t>Facility-level supervision of processing operations</t>
        </is>
      </c>
    </row>
    <row r="49">
      <c r="A49" s="9" t="inlineStr">
        <is>
          <t>E6</t>
        </is>
      </c>
      <c r="B49" s="10" t="inlineStr">
        <is>
          <t>Data &amp; MIS Lead</t>
        </is>
      </c>
      <c r="C49" s="11" t="n">
        <v>50000</v>
      </c>
      <c r="D49" s="12" t="n">
        <v>1</v>
      </c>
      <c r="E49" s="9" t="n">
        <v>12</v>
      </c>
      <c r="F49" s="11">
        <f>C49*D49*E49</f>
        <v/>
      </c>
      <c r="G49" s="13" t="inlineStr">
        <is>
          <t>Digital data systems and M&amp;E support</t>
        </is>
      </c>
    </row>
    <row r="50">
      <c r="A50" s="9" t="inlineStr">
        <is>
          <t>E7</t>
        </is>
      </c>
      <c r="B50" s="10" t="inlineStr">
        <is>
          <t>Communications Consultant</t>
        </is>
      </c>
      <c r="C50" s="11" t="n">
        <v>45000</v>
      </c>
      <c r="D50" s="12" t="n">
        <v>1</v>
      </c>
      <c r="E50" s="9" t="n">
        <v>12</v>
      </c>
      <c r="F50" s="11">
        <f>C50*D50*E50</f>
        <v/>
      </c>
      <c r="G50" s="13" t="inlineStr">
        <is>
          <t>Project communications, storytelling and reporting</t>
        </is>
      </c>
    </row>
    <row r="51">
      <c r="A51" s="9" t="inlineStr">
        <is>
          <t>E8</t>
        </is>
      </c>
      <c r="B51" s="10" t="inlineStr">
        <is>
          <t>Field Executives / Swachhta Coordinators</t>
        </is>
      </c>
      <c r="C51" s="11" t="n">
        <v>25000</v>
      </c>
      <c r="D51" s="12" t="n">
        <v>4</v>
      </c>
      <c r="E51" s="9" t="n">
        <v>12</v>
      </c>
      <c r="F51" s="11">
        <f>C51*D51*E51</f>
        <v/>
      </c>
      <c r="G51" s="13" t="inlineStr">
        <is>
          <t>Ward-level field execution and coordination</t>
        </is>
      </c>
    </row>
    <row r="52">
      <c r="A52" s="5" t="inlineStr">
        <is>
          <t>F</t>
        </is>
      </c>
      <c r="B52" s="6" t="inlineStr">
        <is>
          <t>Admin Support</t>
        </is>
      </c>
      <c r="C52" s="7" t="n"/>
      <c r="D52" s="7" t="n"/>
      <c r="E52" s="7" t="n"/>
      <c r="F52" s="8">
        <f>SUM(F53:F60)</f>
        <v/>
      </c>
      <c r="G52" s="7" t="n"/>
    </row>
    <row r="53">
      <c r="A53" s="9" t="inlineStr">
        <is>
          <t>F1</t>
        </is>
      </c>
      <c r="B53" s="10" t="inlineStr">
        <is>
          <t>Head Office rent (proportionate)</t>
        </is>
      </c>
      <c r="C53" s="11" t="n">
        <v>40000</v>
      </c>
      <c r="D53" s="12" t="n">
        <v>1</v>
      </c>
      <c r="E53" s="9" t="n">
        <v>12</v>
      </c>
      <c r="F53" s="11">
        <f>C53*D53*E53</f>
        <v/>
      </c>
      <c r="G53" s="13" t="inlineStr">
        <is>
          <t>Apportioned head-office and associated functions</t>
        </is>
      </c>
    </row>
    <row r="54">
      <c r="A54" s="9" t="inlineStr">
        <is>
          <t>F2</t>
        </is>
      </c>
      <c r="B54" s="10" t="inlineStr">
        <is>
          <t>Office electricity, power &amp; water</t>
        </is>
      </c>
      <c r="C54" s="11" t="n">
        <v>8000</v>
      </c>
      <c r="D54" s="12" t="n">
        <v>1</v>
      </c>
      <c r="E54" s="9" t="n">
        <v>12</v>
      </c>
      <c r="F54" s="11">
        <f>C54*D54*E54</f>
        <v/>
      </c>
      <c r="G54" s="13" t="inlineStr">
        <is>
          <t>Apportioned utilities</t>
        </is>
      </c>
    </row>
    <row r="55">
      <c r="A55" s="9" t="inlineStr">
        <is>
          <t>F3</t>
        </is>
      </c>
      <c r="B55" s="10" t="inlineStr">
        <is>
          <t>Office maintenance &amp; service</t>
        </is>
      </c>
      <c r="C55" s="11" t="n">
        <v>7000</v>
      </c>
      <c r="D55" s="12" t="n">
        <v>1</v>
      </c>
      <c r="E55" s="9" t="n">
        <v>12</v>
      </c>
      <c r="F55" s="11">
        <f>C55*D55*E55</f>
        <v/>
      </c>
      <c r="G55" s="13" t="inlineStr">
        <is>
          <t>Apportioned maintenance</t>
        </is>
      </c>
    </row>
    <row r="56">
      <c r="A56" s="9" t="inlineStr">
        <is>
          <t>F4</t>
        </is>
      </c>
      <c r="B56" s="10" t="inlineStr">
        <is>
          <t>Audit fee</t>
        </is>
      </c>
      <c r="C56" s="11" t="n">
        <v>120000</v>
      </c>
      <c r="D56" s="12" t="n">
        <v>1</v>
      </c>
      <c r="E56" s="9" t="n">
        <v>1</v>
      </c>
      <c r="F56" s="11">
        <f>C56*D56*E56</f>
        <v/>
      </c>
      <c r="G56" s="13" t="inlineStr">
        <is>
          <t>Statutory annual audit</t>
        </is>
      </c>
    </row>
    <row r="57">
      <c r="A57" s="9" t="inlineStr">
        <is>
          <t>F5</t>
        </is>
      </c>
      <c r="B57" s="10" t="inlineStr">
        <is>
          <t>Finance, HR &amp; compliance support (proportionate)</t>
        </is>
      </c>
      <c r="C57" s="11" t="n">
        <v>50000</v>
      </c>
      <c r="D57" s="12" t="n">
        <v>1</v>
      </c>
      <c r="E57" s="9" t="n">
        <v>12</v>
      </c>
      <c r="F57" s="11">
        <f>C57*D57*E57</f>
        <v/>
      </c>
      <c r="G57" s="13" t="inlineStr">
        <is>
          <t>Apportioned support-function salaries</t>
        </is>
      </c>
    </row>
    <row r="58">
      <c r="A58" s="9" t="inlineStr">
        <is>
          <t>F6</t>
        </is>
      </c>
      <c r="B58" s="10" t="inlineStr">
        <is>
          <t>IT, communication &amp; software subscriptions</t>
        </is>
      </c>
      <c r="C58" s="11" t="n">
        <v>25000</v>
      </c>
      <c r="D58" s="12" t="n">
        <v>1</v>
      </c>
      <c r="E58" s="9" t="n">
        <v>12</v>
      </c>
      <c r="F58" s="11">
        <f>C58*D58*E58</f>
        <v/>
      </c>
      <c r="G58" s="13" t="inlineStr">
        <is>
          <t>Org-level digital tools and connectivity</t>
        </is>
      </c>
    </row>
    <row r="59">
      <c r="A59" s="9" t="inlineStr">
        <is>
          <t>F7</t>
        </is>
      </c>
      <c r="B59" s="10" t="inlineStr">
        <is>
          <t>Statutory filings, legal &amp; organisational insurance</t>
        </is>
      </c>
      <c r="C59" s="11" t="n">
        <v>20000</v>
      </c>
      <c r="D59" s="12" t="n">
        <v>1</v>
      </c>
      <c r="E59" s="9" t="n">
        <v>12</v>
      </c>
      <c r="F59" s="11">
        <f>C59*D59*E59</f>
        <v/>
      </c>
      <c r="G59" s="13" t="inlineStr">
        <is>
          <t>Compliance and risk cover</t>
        </is>
      </c>
    </row>
    <row r="60">
      <c r="A60" s="9" t="inlineStr">
        <is>
          <t>F8</t>
        </is>
      </c>
      <c r="B60" s="10" t="inlineStr">
        <is>
          <t>Travel, banking &amp; general administrative</t>
        </is>
      </c>
      <c r="C60" s="11" t="n">
        <v>15000</v>
      </c>
      <c r="D60" s="12" t="n">
        <v>1</v>
      </c>
      <c r="E60" s="9" t="n">
        <v>12</v>
      </c>
      <c r="F60" s="11">
        <f>C60*D60*E60</f>
        <v/>
      </c>
      <c r="G60" s="13" t="inlineStr">
        <is>
          <t>Apportioned administrative overhead</t>
        </is>
      </c>
    </row>
    <row r="61">
      <c r="A61" s="14" t="inlineStr">
        <is>
          <t>GRAND TOTAL (Annual)</t>
        </is>
      </c>
      <c r="B61" s="15" t="n"/>
      <c r="C61" s="15" t="n"/>
      <c r="D61" s="15" t="n"/>
      <c r="E61" s="15" t="n"/>
      <c r="F61" s="16">
        <f>F8+F18+F25+F35+F43+F52</f>
        <v/>
      </c>
      <c r="G61" s="15" t="n"/>
    </row>
    <row r="63">
      <c r="A63" s="17" t="inlineStr">
        <is>
          <t>Budget Summary</t>
        </is>
      </c>
    </row>
    <row r="64">
      <c r="A64" s="18" t="inlineStr">
        <is>
          <t>Code</t>
        </is>
      </c>
      <c r="B64" s="18" t="inlineStr">
        <is>
          <t>Cost Head</t>
        </is>
      </c>
      <c r="C64" s="18" t="inlineStr">
        <is>
          <t>Total Budget</t>
        </is>
      </c>
      <c r="D64" s="18" t="inlineStr">
        <is>
          <t>% of Total</t>
        </is>
      </c>
    </row>
    <row r="65">
      <c r="A65" s="9" t="inlineStr">
        <is>
          <t>A</t>
        </is>
      </c>
      <c r="B65" s="19" t="inlineStr">
        <is>
          <t>MRF Operations (Dehradun)</t>
        </is>
      </c>
      <c r="C65" s="11">
        <f>F8</f>
        <v/>
      </c>
      <c r="D65" s="20">
        <f>C65/F61</f>
        <v/>
      </c>
    </row>
    <row r="66">
      <c r="A66" s="9" t="inlineStr">
        <is>
          <t>B</t>
        </is>
      </c>
      <c r="B66" s="19" t="inlineStr">
        <is>
          <t>MRF Expansion — Dharamshala</t>
        </is>
      </c>
      <c r="C66" s="11">
        <f>F18</f>
        <v/>
      </c>
      <c r="D66" s="20">
        <f>C66/F61</f>
        <v/>
      </c>
    </row>
    <row r="67">
      <c r="A67" s="9" t="inlineStr">
        <is>
          <t>C</t>
        </is>
      </c>
      <c r="B67" s="19" t="inlineStr">
        <is>
          <t>IEC, Awareness &amp; Community Engagement</t>
        </is>
      </c>
      <c r="C67" s="11">
        <f>F25</f>
        <v/>
      </c>
      <c r="D67" s="20">
        <f>C67/F61</f>
        <v/>
      </c>
    </row>
    <row r="68">
      <c r="A68" s="9" t="inlineStr">
        <is>
          <t>D</t>
        </is>
      </c>
      <c r="B68" s="19" t="inlineStr">
        <is>
          <t>Employee Wellness &amp; Statutory</t>
        </is>
      </c>
      <c r="C68" s="11">
        <f>F35</f>
        <v/>
      </c>
      <c r="D68" s="20">
        <f>C68/F61</f>
        <v/>
      </c>
    </row>
    <row r="69">
      <c r="A69" s="9" t="inlineStr">
        <is>
          <t>E</t>
        </is>
      </c>
      <c r="B69" s="19" t="inlineStr">
        <is>
          <t>Human Resource — Project Team Salaries</t>
        </is>
      </c>
      <c r="C69" s="11">
        <f>F43</f>
        <v/>
      </c>
      <c r="D69" s="20">
        <f>C69/F61</f>
        <v/>
      </c>
    </row>
    <row r="70">
      <c r="A70" s="9" t="inlineStr">
        <is>
          <t>F</t>
        </is>
      </c>
      <c r="B70" s="19" t="inlineStr">
        <is>
          <t>Admin Support</t>
        </is>
      </c>
      <c r="C70" s="11">
        <f>F52</f>
        <v/>
      </c>
      <c r="D70" s="20">
        <f>C70/F61</f>
        <v/>
      </c>
    </row>
    <row r="71">
      <c r="A71" s="15" t="inlineStr"/>
      <c r="B71" s="21" t="inlineStr">
        <is>
          <t>Total Budget</t>
        </is>
      </c>
      <c r="C71" s="22">
        <f>SUM(C65:C70)</f>
        <v/>
      </c>
      <c r="D71" s="23">
        <f>C71/F61</f>
        <v/>
      </c>
    </row>
    <row r="73">
      <c r="A73" s="24" t="inlineStr">
        <is>
          <t>Key Allocation Ratios</t>
        </is>
      </c>
    </row>
    <row r="74">
      <c r="A74" s="25" t="inlineStr"/>
      <c r="B74" s="19" t="inlineStr">
        <is>
          <t>Human Resource (Project Team)</t>
        </is>
      </c>
      <c r="C74" s="11">
        <f>F43</f>
        <v/>
      </c>
      <c r="D74" s="20">
        <f>F43/F61</f>
        <v/>
      </c>
    </row>
    <row r="75">
      <c r="A75" s="25" t="inlineStr"/>
      <c r="B75" s="19" t="inlineStr">
        <is>
          <t>Employee Wellness &amp; Statutory</t>
        </is>
      </c>
      <c r="C75" s="11">
        <f>F35</f>
        <v/>
      </c>
      <c r="D75" s="20">
        <f>F35/F61</f>
        <v/>
      </c>
    </row>
    <row r="76">
      <c r="A76" s="25" t="inlineStr"/>
      <c r="B76" s="19" t="inlineStr">
        <is>
          <t>Admin Support</t>
        </is>
      </c>
      <c r="C76" s="11">
        <f>F52</f>
        <v/>
      </c>
      <c r="D76" s="20">
        <f>F52/F61</f>
        <v/>
      </c>
    </row>
    <row r="77">
      <c r="A77" s="25" t="inlineStr"/>
      <c r="B77" s="19" t="inlineStr">
        <is>
          <t>Operations, MRF Expansion &amp; IEC (A+B+C)</t>
        </is>
      </c>
      <c r="C77" s="11">
        <f>F8+F18+F25</f>
        <v/>
      </c>
      <c r="D77" s="20">
        <f>(F8+F18+F25)/F61</f>
        <v/>
      </c>
    </row>
  </sheetData>
  <mergeCells count="8">
    <mergeCell ref="A1:G1"/>
    <mergeCell ref="A3:G3"/>
    <mergeCell ref="A4:G4"/>
    <mergeCell ref="A2:G2"/>
    <mergeCell ref="A73:D73"/>
    <mergeCell ref="A63:D63"/>
    <mergeCell ref="A61:E6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2026-06-02T06:49:02Z</dcterms:created>
  <dcterms:modified xmlns:dcterms="http://purl.org/dc/terms/" xmlns:xsi="http://www.w3.org/2001/XMLSchema-instance" xsi:type="dcterms:W3CDTF">2026-06-02T06:49:02Z</dcterms:modified>
</cp:coreProperties>
</file>